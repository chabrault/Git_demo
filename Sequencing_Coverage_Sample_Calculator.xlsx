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Camelina_WGS_Files_Backup\"/>
    </mc:Choice>
  </mc:AlternateContent>
  <xr:revisionPtr revIDLastSave="0" documentId="13_ncr:1_{9C19DA1F-C325-43D3-828D-6470688351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  <c r="E6" i="1"/>
  <c r="E7" i="1"/>
  <c r="E8" i="1"/>
  <c r="E9" i="1"/>
  <c r="E10" i="1"/>
  <c r="E11" i="1"/>
  <c r="E12" i="1"/>
  <c r="E13" i="1"/>
  <c r="E14" i="1"/>
  <c r="E15" i="1"/>
  <c r="E16" i="1"/>
  <c r="B16" i="1"/>
  <c r="B15" i="1"/>
  <c r="B14" i="1"/>
  <c r="B13" i="1"/>
  <c r="B12" i="1"/>
  <c r="B11" i="1"/>
  <c r="B10" i="1"/>
  <c r="B9" i="1"/>
  <c r="B8" i="1"/>
  <c r="B7" i="1"/>
  <c r="B6" i="1"/>
  <c r="B28" i="1"/>
  <c r="B27" i="1"/>
  <c r="B26" i="1"/>
  <c r="E26" i="1" s="1"/>
  <c r="B25" i="1"/>
  <c r="E25" i="1" s="1"/>
  <c r="B24" i="1"/>
  <c r="E24" i="1" s="1"/>
  <c r="B23" i="1"/>
  <c r="E23" i="1" s="1"/>
  <c r="B22" i="1"/>
  <c r="E22" i="1" s="1"/>
  <c r="B21" i="1"/>
  <c r="E21" i="1" s="1"/>
  <c r="B20" i="1"/>
  <c r="E20" i="1" s="1"/>
  <c r="B19" i="1"/>
  <c r="E19" i="1" s="1"/>
  <c r="B18" i="1"/>
  <c r="E18" i="1" s="1"/>
  <c r="B17" i="1"/>
  <c r="E17" i="1" s="1"/>
  <c r="B32" i="1"/>
  <c r="E32" i="1" s="1"/>
  <c r="B31" i="1"/>
  <c r="E31" i="1" s="1"/>
  <c r="B30" i="1"/>
  <c r="E30" i="1" s="1"/>
  <c r="B29" i="1"/>
  <c r="E29" i="1" s="1"/>
  <c r="E28" i="1"/>
  <c r="E27" i="1"/>
  <c r="B2" i="1"/>
  <c r="E2" i="1" s="1"/>
  <c r="B3" i="1"/>
  <c r="E3" i="1" s="1"/>
  <c r="B4" i="1"/>
  <c r="E4" i="1" s="1"/>
  <c r="B5" i="1"/>
  <c r="E44" i="1" l="1"/>
  <c r="B39" i="1"/>
  <c r="E39" i="1" s="1"/>
  <c r="B40" i="1"/>
  <c r="E40" i="1" s="1"/>
  <c r="B41" i="1"/>
  <c r="E41" i="1" s="1"/>
  <c r="B42" i="1"/>
  <c r="E42" i="1" s="1"/>
  <c r="B43" i="1"/>
  <c r="E43" i="1" s="1"/>
  <c r="B33" i="1"/>
  <c r="E33" i="1" s="1"/>
  <c r="B34" i="1"/>
  <c r="E34" i="1" s="1"/>
  <c r="B35" i="1"/>
  <c r="E35" i="1" s="1"/>
  <c r="B36" i="1"/>
  <c r="E36" i="1" s="1"/>
  <c r="B37" i="1"/>
  <c r="E37" i="1" s="1"/>
  <c r="B38" i="1"/>
  <c r="E38" i="1" s="1"/>
  <c r="E5" i="1"/>
</calcChain>
</file>

<file path=xl/sharedStrings.xml><?xml version="1.0" encoding="utf-8"?>
<sst xmlns="http://schemas.openxmlformats.org/spreadsheetml/2006/main" count="21" uniqueCount="6">
  <si>
    <t>Genome Size</t>
  </si>
  <si>
    <t>Coverage</t>
  </si>
  <si>
    <t>#Samples</t>
  </si>
  <si>
    <t>Sequencer</t>
  </si>
  <si>
    <t>Single Lane NovaSeqX+25B</t>
  </si>
  <si>
    <t>Cycles*Reads (in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</si>
</sst>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topLeftCell="A19" workbookViewId="0">
      <selection activeCell="D45" sqref="D45"/>
    </sheetView>
  </sheetViews>
  <sheetFormatPr defaultRowHeight="15" x14ac:dyDescent="0.25"/>
  <sheetData>
    <row r="1" spans="1:5" x14ac:dyDescent="0.25">
      <c r="A1" t="s">
        <v>3</v>
      </c>
      <c r="B1" t="s">
        <v>5</v>
      </c>
      <c r="C1" t="s">
        <v>0</v>
      </c>
      <c r="D1" t="s">
        <v>1</v>
      </c>
      <c r="E1" t="s">
        <v>2</v>
      </c>
    </row>
    <row r="2" spans="1:5" x14ac:dyDescent="0.25">
      <c r="A2" t="s">
        <v>4</v>
      </c>
      <c r="B2">
        <f t="shared" ref="B2:B4" si="0">(300 * 2000)</f>
        <v>600000</v>
      </c>
      <c r="C2">
        <v>715</v>
      </c>
      <c r="D2">
        <v>8.5</v>
      </c>
      <c r="E2">
        <f t="shared" ref="E2:E4" si="1">B2/(C2*D2)</f>
        <v>98.724804607157552</v>
      </c>
    </row>
    <row r="3" spans="1:5" x14ac:dyDescent="0.25">
      <c r="A3" t="s">
        <v>4</v>
      </c>
      <c r="B3">
        <f t="shared" si="0"/>
        <v>600000</v>
      </c>
      <c r="C3">
        <v>715</v>
      </c>
      <c r="D3">
        <v>8.6</v>
      </c>
      <c r="E3">
        <f t="shared" si="1"/>
        <v>97.576841762888279</v>
      </c>
    </row>
    <row r="4" spans="1:5" x14ac:dyDescent="0.25">
      <c r="A4" t="s">
        <v>4</v>
      </c>
      <c r="B4">
        <f t="shared" si="0"/>
        <v>600000</v>
      </c>
      <c r="C4">
        <v>715</v>
      </c>
      <c r="D4">
        <v>8.6999999999999993</v>
      </c>
      <c r="E4">
        <f t="shared" si="1"/>
        <v>96.455268869061982</v>
      </c>
    </row>
    <row r="5" spans="1:5" x14ac:dyDescent="0.25">
      <c r="A5" t="s">
        <v>4</v>
      </c>
      <c r="B5">
        <f>(300 * 2000)</f>
        <v>600000</v>
      </c>
      <c r="C5">
        <v>715</v>
      </c>
      <c r="D5">
        <v>8.8000000000000007</v>
      </c>
      <c r="E5">
        <f>B5/(C5*D5)</f>
        <v>95.35918626827717</v>
      </c>
    </row>
    <row r="6" spans="1:5" x14ac:dyDescent="0.25">
      <c r="B6">
        <f t="shared" ref="B6:B16" si="2">(300 * 3250)</f>
        <v>975000</v>
      </c>
      <c r="C6">
        <v>715</v>
      </c>
      <c r="D6">
        <v>6.1999999999999904</v>
      </c>
      <c r="E6">
        <f t="shared" ref="E6:E16" si="3">B6/(C6*D6)</f>
        <v>219.9413489736074</v>
      </c>
    </row>
    <row r="7" spans="1:5" x14ac:dyDescent="0.25">
      <c r="B7">
        <f t="shared" si="2"/>
        <v>975000</v>
      </c>
      <c r="C7">
        <v>715</v>
      </c>
      <c r="D7">
        <v>6.2999999999999901</v>
      </c>
      <c r="E7">
        <f t="shared" si="3"/>
        <v>216.4502164502168</v>
      </c>
    </row>
    <row r="8" spans="1:5" x14ac:dyDescent="0.25">
      <c r="B8">
        <f t="shared" si="2"/>
        <v>975000</v>
      </c>
      <c r="C8">
        <v>715</v>
      </c>
      <c r="D8">
        <v>6.4</v>
      </c>
      <c r="E8">
        <f t="shared" si="3"/>
        <v>213.06818181818181</v>
      </c>
    </row>
    <row r="9" spans="1:5" x14ac:dyDescent="0.25">
      <c r="B9">
        <f t="shared" si="2"/>
        <v>975000</v>
      </c>
      <c r="C9">
        <v>715</v>
      </c>
      <c r="D9">
        <v>6.5</v>
      </c>
      <c r="E9">
        <f t="shared" si="3"/>
        <v>209.79020979020979</v>
      </c>
    </row>
    <row r="10" spans="1:5" x14ac:dyDescent="0.25">
      <c r="B10">
        <f t="shared" si="2"/>
        <v>975000</v>
      </c>
      <c r="C10">
        <v>715</v>
      </c>
      <c r="D10">
        <v>6.6</v>
      </c>
      <c r="E10">
        <f t="shared" si="3"/>
        <v>206.61157024793388</v>
      </c>
    </row>
    <row r="11" spans="1:5" x14ac:dyDescent="0.25">
      <c r="B11">
        <f t="shared" si="2"/>
        <v>975000</v>
      </c>
      <c r="C11">
        <v>715</v>
      </c>
      <c r="D11">
        <v>6.7</v>
      </c>
      <c r="E11">
        <f t="shared" si="3"/>
        <v>203.52781546811397</v>
      </c>
    </row>
    <row r="12" spans="1:5" x14ac:dyDescent="0.25">
      <c r="B12">
        <f t="shared" si="2"/>
        <v>975000</v>
      </c>
      <c r="C12">
        <v>715</v>
      </c>
      <c r="D12">
        <v>6.8</v>
      </c>
      <c r="E12">
        <f t="shared" si="3"/>
        <v>200.53475935828877</v>
      </c>
    </row>
    <row r="13" spans="1:5" x14ac:dyDescent="0.25">
      <c r="B13">
        <f t="shared" si="2"/>
        <v>975000</v>
      </c>
      <c r="C13">
        <v>715</v>
      </c>
      <c r="D13">
        <v>6.9</v>
      </c>
      <c r="E13">
        <f t="shared" si="3"/>
        <v>197.62845849802372</v>
      </c>
    </row>
    <row r="14" spans="1:5" x14ac:dyDescent="0.25">
      <c r="B14">
        <f t="shared" si="2"/>
        <v>975000</v>
      </c>
      <c r="C14">
        <v>715</v>
      </c>
      <c r="D14">
        <v>7</v>
      </c>
      <c r="E14">
        <f t="shared" si="3"/>
        <v>194.80519480519482</v>
      </c>
    </row>
    <row r="15" spans="1:5" x14ac:dyDescent="0.25">
      <c r="B15">
        <f t="shared" si="2"/>
        <v>975000</v>
      </c>
      <c r="C15">
        <v>715</v>
      </c>
      <c r="D15">
        <v>7.1</v>
      </c>
      <c r="E15">
        <f t="shared" si="3"/>
        <v>192.06145966709346</v>
      </c>
    </row>
    <row r="16" spans="1:5" x14ac:dyDescent="0.25">
      <c r="B16">
        <f t="shared" si="2"/>
        <v>975000</v>
      </c>
      <c r="C16">
        <v>715</v>
      </c>
      <c r="D16">
        <v>7.2</v>
      </c>
      <c r="E16">
        <f t="shared" si="3"/>
        <v>189.39393939393941</v>
      </c>
    </row>
    <row r="17" spans="2:5" x14ac:dyDescent="0.25">
      <c r="B17">
        <f t="shared" ref="B17:B28" si="4">(300 * 3250)</f>
        <v>975000</v>
      </c>
      <c r="C17">
        <v>715</v>
      </c>
      <c r="D17">
        <v>7.3</v>
      </c>
      <c r="E17">
        <f t="shared" ref="E17:E26" si="5">B17/(C17*D17)</f>
        <v>186.79950186799502</v>
      </c>
    </row>
    <row r="18" spans="2:5" x14ac:dyDescent="0.25">
      <c r="B18">
        <f t="shared" si="4"/>
        <v>975000</v>
      </c>
      <c r="C18">
        <v>715</v>
      </c>
      <c r="D18">
        <v>7.4</v>
      </c>
      <c r="E18">
        <f t="shared" si="5"/>
        <v>184.27518427518427</v>
      </c>
    </row>
    <row r="19" spans="2:5" x14ac:dyDescent="0.25">
      <c r="B19">
        <f t="shared" si="4"/>
        <v>975000</v>
      </c>
      <c r="C19">
        <v>715</v>
      </c>
      <c r="D19">
        <v>7.5</v>
      </c>
      <c r="E19">
        <f t="shared" si="5"/>
        <v>181.81818181818181</v>
      </c>
    </row>
    <row r="20" spans="2:5" x14ac:dyDescent="0.25">
      <c r="B20">
        <f t="shared" si="4"/>
        <v>975000</v>
      </c>
      <c r="C20">
        <v>715</v>
      </c>
      <c r="D20">
        <v>7.6</v>
      </c>
      <c r="E20">
        <f t="shared" si="5"/>
        <v>179.42583732057417</v>
      </c>
    </row>
    <row r="21" spans="2:5" x14ac:dyDescent="0.25">
      <c r="B21">
        <f t="shared" si="4"/>
        <v>975000</v>
      </c>
      <c r="C21">
        <v>715</v>
      </c>
      <c r="D21">
        <v>7.7</v>
      </c>
      <c r="E21">
        <f t="shared" si="5"/>
        <v>177.09563164108619</v>
      </c>
    </row>
    <row r="22" spans="2:5" x14ac:dyDescent="0.25">
      <c r="B22">
        <f t="shared" si="4"/>
        <v>975000</v>
      </c>
      <c r="C22">
        <v>715</v>
      </c>
      <c r="D22">
        <v>7.8</v>
      </c>
      <c r="E22">
        <f t="shared" si="5"/>
        <v>174.82517482517483</v>
      </c>
    </row>
    <row r="23" spans="2:5" x14ac:dyDescent="0.25">
      <c r="B23">
        <f t="shared" si="4"/>
        <v>975000</v>
      </c>
      <c r="C23">
        <v>715</v>
      </c>
      <c r="D23">
        <v>7.9</v>
      </c>
      <c r="E23">
        <f t="shared" si="5"/>
        <v>172.61219792865361</v>
      </c>
    </row>
    <row r="24" spans="2:5" x14ac:dyDescent="0.25">
      <c r="B24">
        <f t="shared" si="4"/>
        <v>975000</v>
      </c>
      <c r="C24">
        <v>715</v>
      </c>
      <c r="D24">
        <v>8</v>
      </c>
      <c r="E24">
        <f t="shared" si="5"/>
        <v>170.45454545454547</v>
      </c>
    </row>
    <row r="25" spans="2:5" x14ac:dyDescent="0.25">
      <c r="B25">
        <f t="shared" si="4"/>
        <v>975000</v>
      </c>
      <c r="C25">
        <v>715</v>
      </c>
      <c r="D25">
        <v>8.1</v>
      </c>
      <c r="E25">
        <f t="shared" si="5"/>
        <v>168.35016835016836</v>
      </c>
    </row>
    <row r="26" spans="2:5" x14ac:dyDescent="0.25">
      <c r="B26">
        <f t="shared" si="4"/>
        <v>975000</v>
      </c>
      <c r="C26">
        <v>715</v>
      </c>
      <c r="D26">
        <v>8.1999999999999993</v>
      </c>
      <c r="E26">
        <f t="shared" si="5"/>
        <v>166.29711751662973</v>
      </c>
    </row>
    <row r="27" spans="2:5" x14ac:dyDescent="0.25">
      <c r="B27">
        <f t="shared" si="4"/>
        <v>975000</v>
      </c>
      <c r="C27">
        <v>715</v>
      </c>
      <c r="D27">
        <v>8.3000000000000007</v>
      </c>
      <c r="E27">
        <f t="shared" ref="E27:E32" si="6">B27/(C27*D27)</f>
        <v>164.29353778751366</v>
      </c>
    </row>
    <row r="28" spans="2:5" x14ac:dyDescent="0.25">
      <c r="B28">
        <f t="shared" si="4"/>
        <v>975000</v>
      </c>
      <c r="C28">
        <v>715</v>
      </c>
      <c r="D28">
        <v>8.4</v>
      </c>
      <c r="E28">
        <f t="shared" si="6"/>
        <v>162.33766233766235</v>
      </c>
    </row>
    <row r="29" spans="2:5" x14ac:dyDescent="0.25">
      <c r="B29">
        <f t="shared" ref="B27:B32" si="7">(300 * 3250)</f>
        <v>975000</v>
      </c>
      <c r="C29">
        <v>715</v>
      </c>
      <c r="D29">
        <v>8.5</v>
      </c>
      <c r="E29">
        <f t="shared" si="6"/>
        <v>160.42780748663102</v>
      </c>
    </row>
    <row r="30" spans="2:5" x14ac:dyDescent="0.25">
      <c r="B30">
        <f t="shared" si="7"/>
        <v>975000</v>
      </c>
      <c r="C30">
        <v>715</v>
      </c>
      <c r="D30">
        <v>8.6</v>
      </c>
      <c r="E30">
        <f t="shared" si="6"/>
        <v>158.56236786469344</v>
      </c>
    </row>
    <row r="31" spans="2:5" x14ac:dyDescent="0.25">
      <c r="B31">
        <f t="shared" si="7"/>
        <v>975000</v>
      </c>
      <c r="C31">
        <v>715</v>
      </c>
      <c r="D31">
        <v>8.6999999999999993</v>
      </c>
      <c r="E31">
        <f t="shared" si="6"/>
        <v>156.73981191222572</v>
      </c>
    </row>
    <row r="32" spans="2:5" x14ac:dyDescent="0.25">
      <c r="B32">
        <f t="shared" si="7"/>
        <v>975000</v>
      </c>
      <c r="C32">
        <v>715</v>
      </c>
      <c r="D32">
        <v>8.8000000000000007</v>
      </c>
      <c r="E32">
        <f t="shared" si="6"/>
        <v>154.95867768595039</v>
      </c>
    </row>
    <row r="33" spans="1:5" x14ac:dyDescent="0.25">
      <c r="A33" t="s">
        <v>4</v>
      </c>
      <c r="B33">
        <f t="shared" ref="B33:B43" si="8">(300 * 3250)</f>
        <v>975000</v>
      </c>
      <c r="C33">
        <v>715</v>
      </c>
      <c r="D33">
        <v>8.9</v>
      </c>
      <c r="E33">
        <f t="shared" ref="E33:E44" si="9">B33/(C33*D33)</f>
        <v>153.21756894790602</v>
      </c>
    </row>
    <row r="34" spans="1:5" x14ac:dyDescent="0.25">
      <c r="A34" t="s">
        <v>4</v>
      </c>
      <c r="B34">
        <f t="shared" si="8"/>
        <v>975000</v>
      </c>
      <c r="C34">
        <v>715</v>
      </c>
      <c r="D34">
        <v>9</v>
      </c>
      <c r="E34">
        <f t="shared" si="9"/>
        <v>151.5151515151515</v>
      </c>
    </row>
    <row r="35" spans="1:5" x14ac:dyDescent="0.25">
      <c r="A35" t="s">
        <v>4</v>
      </c>
      <c r="B35">
        <f t="shared" si="8"/>
        <v>975000</v>
      </c>
      <c r="C35">
        <v>715</v>
      </c>
      <c r="D35">
        <v>9.1</v>
      </c>
      <c r="E35">
        <f t="shared" si="9"/>
        <v>149.85014985014985</v>
      </c>
    </row>
    <row r="36" spans="1:5" x14ac:dyDescent="0.25">
      <c r="A36" t="s">
        <v>4</v>
      </c>
      <c r="B36">
        <f t="shared" si="8"/>
        <v>975000</v>
      </c>
      <c r="C36">
        <v>715</v>
      </c>
      <c r="D36">
        <v>9.1999999999999993</v>
      </c>
      <c r="E36">
        <f t="shared" si="9"/>
        <v>148.22134387351781</v>
      </c>
    </row>
    <row r="37" spans="1:5" x14ac:dyDescent="0.25">
      <c r="A37" t="s">
        <v>4</v>
      </c>
      <c r="B37">
        <f t="shared" si="8"/>
        <v>975000</v>
      </c>
      <c r="C37">
        <v>715</v>
      </c>
      <c r="D37">
        <v>9.3000000000000007</v>
      </c>
      <c r="E37">
        <f t="shared" si="9"/>
        <v>146.62756598240466</v>
      </c>
    </row>
    <row r="38" spans="1:5" x14ac:dyDescent="0.25">
      <c r="A38" t="s">
        <v>4</v>
      </c>
      <c r="B38">
        <f t="shared" si="8"/>
        <v>975000</v>
      </c>
      <c r="C38">
        <v>715</v>
      </c>
      <c r="D38">
        <v>9.4</v>
      </c>
      <c r="E38">
        <f t="shared" si="9"/>
        <v>145.06769825918761</v>
      </c>
    </row>
    <row r="39" spans="1:5" x14ac:dyDescent="0.25">
      <c r="A39" t="s">
        <v>4</v>
      </c>
      <c r="B39">
        <f t="shared" si="8"/>
        <v>975000</v>
      </c>
      <c r="C39">
        <v>715</v>
      </c>
      <c r="D39">
        <v>9.5</v>
      </c>
      <c r="E39">
        <f t="shared" si="9"/>
        <v>143.54066985645932</v>
      </c>
    </row>
    <row r="40" spans="1:5" x14ac:dyDescent="0.25">
      <c r="A40" t="s">
        <v>4</v>
      </c>
      <c r="B40">
        <f t="shared" si="8"/>
        <v>975000</v>
      </c>
      <c r="C40">
        <v>715</v>
      </c>
      <c r="D40">
        <v>9.6</v>
      </c>
      <c r="E40">
        <f t="shared" si="9"/>
        <v>142.04545454545453</v>
      </c>
    </row>
    <row r="41" spans="1:5" x14ac:dyDescent="0.25">
      <c r="A41" t="s">
        <v>4</v>
      </c>
      <c r="B41">
        <f t="shared" si="8"/>
        <v>975000</v>
      </c>
      <c r="C41">
        <v>715</v>
      </c>
      <c r="D41">
        <v>9.6999999999999993</v>
      </c>
      <c r="E41">
        <f t="shared" si="9"/>
        <v>140.58106841611999</v>
      </c>
    </row>
    <row r="42" spans="1:5" x14ac:dyDescent="0.25">
      <c r="A42" t="s">
        <v>4</v>
      </c>
      <c r="B42">
        <f t="shared" si="8"/>
        <v>975000</v>
      </c>
      <c r="C42">
        <v>715</v>
      </c>
      <c r="D42">
        <v>9.8000000000000007</v>
      </c>
      <c r="E42">
        <f t="shared" si="9"/>
        <v>139.14656771799628</v>
      </c>
    </row>
    <row r="43" spans="1:5" x14ac:dyDescent="0.25">
      <c r="A43" t="s">
        <v>4</v>
      </c>
      <c r="B43">
        <f t="shared" si="8"/>
        <v>975000</v>
      </c>
      <c r="C43">
        <v>715</v>
      </c>
      <c r="D43">
        <v>9.9</v>
      </c>
      <c r="E43">
        <f t="shared" si="9"/>
        <v>137.74104683195591</v>
      </c>
    </row>
    <row r="44" spans="1:5" x14ac:dyDescent="0.25">
      <c r="A44" t="s">
        <v>4</v>
      </c>
      <c r="B44">
        <f>(300 * 3000)</f>
        <v>900000</v>
      </c>
      <c r="C44">
        <v>715</v>
      </c>
      <c r="D44">
        <v>12</v>
      </c>
      <c r="E44">
        <f t="shared" si="9"/>
        <v>104.89510489510489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A Ott</dc:creator>
  <cp:lastModifiedBy>Matthew A Ott</cp:lastModifiedBy>
  <dcterms:created xsi:type="dcterms:W3CDTF">2024-11-20T20:49:09Z</dcterms:created>
  <dcterms:modified xsi:type="dcterms:W3CDTF">2026-01-07T20:38:18Z</dcterms:modified>
</cp:coreProperties>
</file>